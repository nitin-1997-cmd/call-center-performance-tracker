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4CE0441-FF99-47EF-8B4A-4B640032D916}" xr6:coauthVersionLast="47" xr6:coauthVersionMax="47" xr10:uidLastSave="{00000000-0000-0000-0000-000000000000}"/>
  <bookViews>
    <workbookView xWindow="-108" yWindow="-108" windowWidth="23256" windowHeight="12456" activeTab="3" xr2:uid="{F574FE6D-CD77-4545-8A9E-CF1084D0C0D8}"/>
  </bookViews>
  <sheets>
    <sheet name="agent_scoreboard" sheetId="2" r:id="rId1"/>
    <sheet name="call_outcome_summary" sheetId="4" r:id="rId2"/>
    <sheet name="monthly_trend " sheetId="6" r:id="rId3"/>
    <sheet name="Dashboard" sheetId="8" r:id="rId4"/>
  </sheets>
  <definedNames>
    <definedName name="ExternalData_1" localSheetId="0" hidden="1">agent_scoreboard!$A$1:$F$11</definedName>
    <definedName name="ExternalData_1" localSheetId="1" hidden="1">'call_outcome_summary'!$A$1:$C$5</definedName>
    <definedName name="ExternalData_1" localSheetId="2" hidden="1">'monthly_trend '!$A$1:$F$13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175719-BC5D-461F-99A2-1454A9D260F8}" keepAlive="1" name="Query - agent_scoreboard" description="Connection to the 'agent_scoreboard' query in the workbook." type="5" refreshedVersion="8" background="1" saveData="1">
    <dbPr connection="Provider=Microsoft.Mashup.OleDb.1;Data Source=$Workbook$;Location=agent_scoreboard;Extended Properties=&quot;&quot;" command="SELECT * FROM [agent_scoreboard]"/>
  </connection>
  <connection id="2" xr16:uid="{733EB935-2377-461B-B9D2-B8654497A95D}" keepAlive="1" name="Query - call_outcome_summary" description="Connection to the 'call_outcome_summary' query in the workbook." type="5" refreshedVersion="8" background="1" saveData="1">
    <dbPr connection="Provider=Microsoft.Mashup.OleDb.1;Data Source=$Workbook$;Location=call_outcome_summary;Extended Properties=&quot;&quot;" command="SELECT * FROM [call_outcome_summary]"/>
  </connection>
  <connection id="3" xr16:uid="{ED6900B4-9D1E-43CC-B8D6-62B29D714C63}" keepAlive="1" name="Query - monthly_trend" description="Connection to the 'monthly_trend' query in the workbook." type="5" refreshedVersion="8" background="1" saveData="1">
    <dbPr connection="Provider=Microsoft.Mashup.OleDb.1;Data Source=$Workbook$;Location=monthly_trend;Extended Properties=&quot;&quot;" command="SELECT * FROM [monthly_trend]"/>
  </connection>
</connections>
</file>

<file path=xl/sharedStrings.xml><?xml version="1.0" encoding="utf-8"?>
<sst xmlns="http://schemas.openxmlformats.org/spreadsheetml/2006/main" count="40" uniqueCount="30">
  <si>
    <t>agent_name</t>
  </si>
  <si>
    <t>team</t>
  </si>
  <si>
    <t>total_calls</t>
  </si>
  <si>
    <t>avg_handle_time_mins</t>
  </si>
  <si>
    <t>avg_csat</t>
  </si>
  <si>
    <t>fcr_rate_pct</t>
  </si>
  <si>
    <t>Amit Sharma</t>
  </si>
  <si>
    <t>Team A</t>
  </si>
  <si>
    <t>Arjun Mehta</t>
  </si>
  <si>
    <t>Team C</t>
  </si>
  <si>
    <t>Pooja Jain</t>
  </si>
  <si>
    <t>Rahul Verma</t>
  </si>
  <si>
    <t>Team B</t>
  </si>
  <si>
    <t>Sneha Gupta</t>
  </si>
  <si>
    <t>Karan Malhotra</t>
  </si>
  <si>
    <t>Vikram Yadav</t>
  </si>
  <si>
    <t>Priya Singh</t>
  </si>
  <si>
    <t>Divya Nair</t>
  </si>
  <si>
    <t>Neha Patel</t>
  </si>
  <si>
    <t>call_outcome</t>
  </si>
  <si>
    <t>percentage</t>
  </si>
  <si>
    <t>Resolved</t>
  </si>
  <si>
    <t>Callback</t>
  </si>
  <si>
    <t>Escalated</t>
  </si>
  <si>
    <t>Abandoned</t>
  </si>
  <si>
    <t>month</t>
  </si>
  <si>
    <t>resolved</t>
  </si>
  <si>
    <t>escalated</t>
  </si>
  <si>
    <t>abandoned</t>
  </si>
  <si>
    <t>Call center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</si>
</sst>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4" fontId="0" fillId="0" borderId="0" xfId="0" applyNumberForma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4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agent</a:t>
            </a:r>
            <a:r>
              <a:rPr lang="en-US" baseline="0"/>
              <a:t> Csat comparison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agent_scoreboard!$E$1</c:f>
              <c:strCache>
                <c:ptCount val="1"/>
                <c:pt idx="0">
                  <c:v>avg_csat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agent_scoreboard!$A$2:$A$11</c:f>
              <c:strCache>
                <c:ptCount val="10"/>
                <c:pt idx="0">
                  <c:v>Amit Sharma</c:v>
                </c:pt>
                <c:pt idx="1">
                  <c:v>Arjun Mehta</c:v>
                </c:pt>
                <c:pt idx="2">
                  <c:v>Pooja Jain</c:v>
                </c:pt>
                <c:pt idx="3">
                  <c:v>Rahul Verma</c:v>
                </c:pt>
                <c:pt idx="4">
                  <c:v>Sneha Gupta</c:v>
                </c:pt>
                <c:pt idx="5">
                  <c:v>Karan Malhotra</c:v>
                </c:pt>
                <c:pt idx="6">
                  <c:v>Vikram Yadav</c:v>
                </c:pt>
                <c:pt idx="7">
                  <c:v>Priya Singh</c:v>
                </c:pt>
                <c:pt idx="8">
                  <c:v>Divya Nair</c:v>
                </c:pt>
                <c:pt idx="9">
                  <c:v>Neha Patel</c:v>
                </c:pt>
              </c:strCache>
            </c:strRef>
          </c:cat>
          <c:val>
            <c:numRef>
              <c:f>agent_scoreboard!$E$2:$E$11</c:f>
              <c:numCache>
                <c:formatCode>General</c:formatCode>
                <c:ptCount val="10"/>
                <c:pt idx="0">
                  <c:v>4.03</c:v>
                </c:pt>
                <c:pt idx="1">
                  <c:v>3.89</c:v>
                </c:pt>
                <c:pt idx="2">
                  <c:v>3.89</c:v>
                </c:pt>
                <c:pt idx="3">
                  <c:v>3.85</c:v>
                </c:pt>
                <c:pt idx="4">
                  <c:v>3.79</c:v>
                </c:pt>
                <c:pt idx="5">
                  <c:v>3.78</c:v>
                </c:pt>
                <c:pt idx="6">
                  <c:v>3.74</c:v>
                </c:pt>
                <c:pt idx="7">
                  <c:v>3.71</c:v>
                </c:pt>
                <c:pt idx="8">
                  <c:v>3.71</c:v>
                </c:pt>
                <c:pt idx="9">
                  <c:v>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29-493C-92E8-43026882A5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3782784"/>
        <c:axId val="943778944"/>
      </c:barChart>
      <c:catAx>
        <c:axId val="94378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78944"/>
        <c:crosses val="autoZero"/>
        <c:auto val="1"/>
        <c:lblAlgn val="ctr"/>
        <c:lblOffset val="100"/>
        <c:noMultiLvlLbl val="0"/>
      </c:catAx>
      <c:valAx>
        <c:axId val="94377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8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114234470691163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'call_outcome_summary'!$B$1</c:f>
              <c:strCache>
                <c:ptCount val="1"/>
                <c:pt idx="0">
                  <c:v>total_calls</c:v>
                </c:pt>
              </c:strCache>
            </c:strRef>
          </c:tx>
          <c:dPt>
            <c:idx val="0"/>
            <c:bubble3D val="0"/>
            <c:explosion val="5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E24-40D7-AE95-E2F4F949F0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'call_outcome_summary'!$A$2:$A$5</c:f>
              <c:strCache>
                <c:ptCount val="4"/>
                <c:pt idx="0">
                  <c:v>Resolved</c:v>
                </c:pt>
                <c:pt idx="1">
                  <c:v>Callback</c:v>
                </c:pt>
                <c:pt idx="2">
                  <c:v>Escalated</c:v>
                </c:pt>
                <c:pt idx="3">
                  <c:v>Abandoned</c:v>
                </c:pt>
              </c:strCache>
            </c:strRef>
          </c:cat>
          <c:val>
            <c:numRef>
              <c:f>'call_outcome_summary'!$B$2:$B$5</c:f>
              <c:numCache>
                <c:formatCode>General</c:formatCode>
                <c:ptCount val="4"/>
                <c:pt idx="0">
                  <c:v>293</c:v>
                </c:pt>
                <c:pt idx="1">
                  <c:v>84</c:v>
                </c:pt>
                <c:pt idx="2">
                  <c:v>81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24-40D7-AE95-E2F4F949F05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Monthly_calls_volume_trend</a:t>
            </a:r>
          </a:p>
        </c:rich>
      </c:tx>
      <c:layout>
        <c:manualLayout>
          <c:xMode val="edge"/>
          <c:yMode val="edge"/>
          <c:x val="0.41420122484689409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'monthly_trend '!$B$1</c:f>
              <c:strCache>
                <c:ptCount val="1"/>
                <c:pt idx="0">
                  <c:v>total_calls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'monthly_trend '!$A$2:$A$13</c:f>
              <c:numCache>
                <c:formatCode>m/d/yyyy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'monthly_trend '!$B$2:$B$13</c:f>
              <c:numCache>
                <c:formatCode>General</c:formatCode>
                <c:ptCount val="12"/>
                <c:pt idx="0">
                  <c:v>40</c:v>
                </c:pt>
                <c:pt idx="1">
                  <c:v>42</c:v>
                </c:pt>
                <c:pt idx="2">
                  <c:v>48</c:v>
                </c:pt>
                <c:pt idx="3">
                  <c:v>37</c:v>
                </c:pt>
                <c:pt idx="4">
                  <c:v>49</c:v>
                </c:pt>
                <c:pt idx="5">
                  <c:v>41</c:v>
                </c:pt>
                <c:pt idx="6">
                  <c:v>34</c:v>
                </c:pt>
                <c:pt idx="7">
                  <c:v>43</c:v>
                </c:pt>
                <c:pt idx="8">
                  <c:v>35</c:v>
                </c:pt>
                <c:pt idx="9">
                  <c:v>48</c:v>
                </c:pt>
                <c:pt idx="10">
                  <c:v>34</c:v>
                </c:pt>
                <c:pt idx="1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63-45BA-8793-FBAB81F7D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451632"/>
        <c:axId val="1813453552"/>
      </c:lineChart>
      <c:dateAx>
        <c:axId val="1813451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453552"/>
        <c:crosses val="autoZero"/>
        <c:auto val="1"/>
        <c:lblOffset val="100"/>
        <c:baseTimeUnit val="months"/>
      </c:dateAx>
      <c:valAx>
        <c:axId val="18134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45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agent</a:t>
            </a:r>
            <a:r>
              <a:rPr lang="en-US" b="1" baseline="0"/>
              <a:t> Csat comparison chart</a:t>
            </a:r>
            <a:endParaRPr lang="en-US" b="1"/>
          </a:p>
        </c:rich>
      </c:tx>
      <c:layout>
        <c:manualLayout>
          <c:xMode val="edge"/>
          <c:yMode val="edge"/>
          <c:x val="0.26588188976377952"/>
          <c:y val="2.78164116828929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agent_scoreboard!$E$1</c:f>
              <c:strCache>
                <c:ptCount val="1"/>
                <c:pt idx="0">
                  <c:v>avg_csat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agent_scoreboard!$A$2:$A$11</c:f>
              <c:strCache>
                <c:ptCount val="10"/>
                <c:pt idx="0">
                  <c:v>Amit Sharma</c:v>
                </c:pt>
                <c:pt idx="1">
                  <c:v>Arjun Mehta</c:v>
                </c:pt>
                <c:pt idx="2">
                  <c:v>Pooja Jain</c:v>
                </c:pt>
                <c:pt idx="3">
                  <c:v>Rahul Verma</c:v>
                </c:pt>
                <c:pt idx="4">
                  <c:v>Sneha Gupta</c:v>
                </c:pt>
                <c:pt idx="5">
                  <c:v>Karan Malhotra</c:v>
                </c:pt>
                <c:pt idx="6">
                  <c:v>Vikram Yadav</c:v>
                </c:pt>
                <c:pt idx="7">
                  <c:v>Priya Singh</c:v>
                </c:pt>
                <c:pt idx="8">
                  <c:v>Divya Nair</c:v>
                </c:pt>
                <c:pt idx="9">
                  <c:v>Neha Patel</c:v>
                </c:pt>
              </c:strCache>
            </c:strRef>
          </c:cat>
          <c:val>
            <c:numRef>
              <c:f>agent_scoreboard!$E$2:$E$11</c:f>
              <c:numCache>
                <c:formatCode>General</c:formatCode>
                <c:ptCount val="10"/>
                <c:pt idx="0">
                  <c:v>4.03</c:v>
                </c:pt>
                <c:pt idx="1">
                  <c:v>3.89</c:v>
                </c:pt>
                <c:pt idx="2">
                  <c:v>3.89</c:v>
                </c:pt>
                <c:pt idx="3">
                  <c:v>3.85</c:v>
                </c:pt>
                <c:pt idx="4">
                  <c:v>3.79</c:v>
                </c:pt>
                <c:pt idx="5">
                  <c:v>3.78</c:v>
                </c:pt>
                <c:pt idx="6">
                  <c:v>3.74</c:v>
                </c:pt>
                <c:pt idx="7">
                  <c:v>3.71</c:v>
                </c:pt>
                <c:pt idx="8">
                  <c:v>3.71</c:v>
                </c:pt>
                <c:pt idx="9">
                  <c:v>3.41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43-4431-864E-2B4ECDD37B3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943782784"/>
        <c:axId val="943778944"/>
      </c:barChart>
      <c:catAx>
        <c:axId val="94378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78944"/>
        <c:crosses val="autoZero"/>
        <c:auto val="1"/>
        <c:lblAlgn val="ctr"/>
        <c:lblOffset val="100"/>
        <c:noMultiLvlLbl val="0"/>
      </c:catAx>
      <c:valAx>
        <c:axId val="943778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78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Call</a:t>
            </a:r>
            <a:r>
              <a:rPr lang="en-US" baseline="0"/>
              <a:t> outcome distribution</a:t>
            </a:r>
            <a:endParaRPr lang="en-US"/>
          </a:p>
        </c:rich>
      </c:tx>
      <c:layout>
        <c:manualLayout>
          <c:xMode val="edge"/>
          <c:yMode val="edge"/>
          <c:x val="0.2561440689479032"/>
          <c:y val="1.40157480314960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'call_outcome_summary'!$B$1</c:f>
              <c:strCache>
                <c:ptCount val="1"/>
                <c:pt idx="0">
                  <c:v>total_calls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DF9-4AAC-898A-F3CD633CF5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DF9-4AAC-898A-F3CD633CF5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DF9-4AAC-898A-F3CD633CF5D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DF9-4AAC-898A-F3CD633CF5D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'call_outcome_summary'!$A$2:$A$5</c:f>
              <c:strCache>
                <c:ptCount val="4"/>
                <c:pt idx="0">
                  <c:v>Resolved</c:v>
                </c:pt>
                <c:pt idx="1">
                  <c:v>Callback</c:v>
                </c:pt>
                <c:pt idx="2">
                  <c:v>Escalated</c:v>
                </c:pt>
                <c:pt idx="3">
                  <c:v>Abandoned</c:v>
                </c:pt>
              </c:strCache>
            </c:strRef>
          </c:cat>
          <c:val>
            <c:numRef>
              <c:f>'call_outcome_summary'!$B$2:$B$5</c:f>
              <c:numCache>
                <c:formatCode>General</c:formatCode>
                <c:ptCount val="4"/>
                <c:pt idx="0">
                  <c:v>293</c:v>
                </c:pt>
                <c:pt idx="1">
                  <c:v>84</c:v>
                </c:pt>
                <c:pt idx="2">
                  <c:v>81</c:v>
                </c:pt>
                <c:pt idx="3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F9-4AAC-898A-F3CD633CF5D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Monthly_calls_volume_trend</a:t>
            </a:r>
          </a:p>
        </c:rich>
      </c:tx>
      <c:layout>
        <c:manualLayout>
          <c:xMode val="edge"/>
          <c:yMode val="edge"/>
          <c:x val="0.41420119616195517"/>
          <c:y val="3.32963967252437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'monthly_trend '!$B$1</c:f>
              <c:strCache>
                <c:ptCount val="1"/>
                <c:pt idx="0">
                  <c:v>total_calls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'monthly_trend '!$A$2:$A$13</c:f>
              <c:numCache>
                <c:formatCode>m/d/yyyy</c:formatCode>
                <c:ptCount val="12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</c:numCache>
            </c:numRef>
          </c:cat>
          <c:val>
            <c:numRef>
              <c:f>'monthly_trend '!$B$2:$B$13</c:f>
              <c:numCache>
                <c:formatCode>General</c:formatCode>
                <c:ptCount val="12"/>
                <c:pt idx="0">
                  <c:v>40</c:v>
                </c:pt>
                <c:pt idx="1">
                  <c:v>42</c:v>
                </c:pt>
                <c:pt idx="2">
                  <c:v>48</c:v>
                </c:pt>
                <c:pt idx="3">
                  <c:v>37</c:v>
                </c:pt>
                <c:pt idx="4">
                  <c:v>49</c:v>
                </c:pt>
                <c:pt idx="5">
                  <c:v>41</c:v>
                </c:pt>
                <c:pt idx="6">
                  <c:v>34</c:v>
                </c:pt>
                <c:pt idx="7">
                  <c:v>43</c:v>
                </c:pt>
                <c:pt idx="8">
                  <c:v>35</c:v>
                </c:pt>
                <c:pt idx="9">
                  <c:v>48</c:v>
                </c:pt>
                <c:pt idx="10">
                  <c:v>34</c:v>
                </c:pt>
                <c:pt idx="1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EE-4472-8836-704B5B43F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3451632"/>
        <c:axId val="1813453552"/>
      </c:lineChart>
      <c:dateAx>
        <c:axId val="1813451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453552"/>
        <c:crosses val="autoZero"/>
        <c:auto val="1"/>
        <c:lblOffset val="100"/>
        <c:baseTimeUnit val="months"/>
      </c:dateAx>
      <c:valAx>
        <c:axId val="181345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3451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312420</xdr:colOff>
      <xdr:row>2</xdr:row>
      <xdr:rowOff>76200</xdr:rowOff>
    </xdr:from>
    <xdr:to>
      <xdr:col>14</xdr:col>
      <xdr:colOff>7620</xdr:colOff>
      <xdr:row>17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C65532-403B-3C09-32CB-9E70194293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373380</xdr:colOff>
      <xdr:row>2</xdr:row>
      <xdr:rowOff>156210</xdr:rowOff>
    </xdr:from>
    <xdr:to>
      <xdr:col>11</xdr:col>
      <xdr:colOff>68580</xdr:colOff>
      <xdr:row>17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72760C-8916-CFCD-8F2C-5213EB61B0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236220</xdr:colOff>
      <xdr:row>4</xdr:row>
      <xdr:rowOff>45720</xdr:rowOff>
    </xdr:from>
    <xdr:to>
      <xdr:col>13</xdr:col>
      <xdr:colOff>541020</xdr:colOff>
      <xdr:row>19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D94408-F511-F73A-D12D-8650FC52F4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</xdr:colOff>
      <xdr:row>15</xdr:row>
      <xdr:rowOff>0</xdr:rowOff>
    </xdr:from>
    <xdr:to>
      <xdr:col>12</xdr:col>
      <xdr:colOff>388620</xdr:colOff>
      <xdr:row>29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49119F-560B-4987-96A5-646144BD7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388620</xdr:colOff>
      <xdr:row>1</xdr:row>
      <xdr:rowOff>106680</xdr:rowOff>
    </xdr:from>
    <xdr:to>
      <xdr:col>6</xdr:col>
      <xdr:colOff>243840</xdr:colOff>
      <xdr:row>14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3F2589-0603-44D6-AB88-615846CA5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236220</xdr:colOff>
      <xdr:row>1</xdr:row>
      <xdr:rowOff>99060</xdr:rowOff>
    </xdr:from>
    <xdr:to>
      <xdr:col>18</xdr:col>
      <xdr:colOff>53340</xdr:colOff>
      <xdr:row>14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102F50-A592-494D-8EB5-A7F46EF12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A65216-3C7B-4FD4-840C-B9BB47655DB2}" autoFormatId="16" applyNumberFormats="0" applyBorderFormats="0" applyFontFormats="0" applyPatternFormats="0" applyAlignmentFormats="0" applyWidthHeightFormats="0">
  <queryTableRefresh nextId="7">
    <queryTableFields count="6">
      <queryTableField id="1" name="agent_name" tableColumnId="1"/>
      <queryTableField id="2" name="team" tableColumnId="2"/>
      <queryTableField id="3" name="total_calls" tableColumnId="3"/>
      <queryTableField id="4" name="avg_handle_time_mins" tableColumnId="4"/>
      <queryTableField id="5" name="avg_csat" tableColumnId="5"/>
      <queryTableField id="6" name="fcr_rate_pct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35D2822-E1DF-4C61-9D65-C9ADDD9EBEAB}" autoFormatId="16" applyNumberFormats="0" applyBorderFormats="0" applyFontFormats="0" applyPatternFormats="0" applyAlignmentFormats="0" applyWidthHeightFormats="0">
  <queryTableRefresh nextId="4">
    <queryTableFields count="3">
      <queryTableField id="1" name="call_outcome" tableColumnId="1"/>
      <queryTableField id="2" name="total_calls" tableColumnId="2"/>
      <queryTableField id="3" name="percentag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C523448-DF0E-4BA7-BCA1-F1BB3F1C0258}" autoFormatId="16" applyNumberFormats="0" applyBorderFormats="0" applyFontFormats="0" applyPatternFormats="0" applyAlignmentFormats="0" applyWidthHeightFormats="0">
  <queryTableRefresh nextId="7">
    <queryTableFields count="6">
      <queryTableField id="1" name="month" tableColumnId="1"/>
      <queryTableField id="2" name="total_calls" tableColumnId="2"/>
      <queryTableField id="3" name="resolved" tableColumnId="3"/>
      <queryTableField id="4" name="escalated" tableColumnId="4"/>
      <queryTableField id="5" name="abandoned" tableColumnId="5"/>
      <queryTableField id="6" name="avg_csa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6D4944-E0FF-4D7A-A372-E825AA9DE598}" name="agent_scoreboard" displayName="agent_scoreboard" ref="A1:F11" tableType="queryTable" totalsRowShown="0">
  <autoFilter ref="A1:F11" xr:uid="{176D4944-E0FF-4D7A-A372-E825AA9DE598}"/>
  <tableColumns count="6">
    <tableColumn id="1" xr3:uid="{969F7E80-C025-4611-9B98-5B0E0FE3F4F4}" uniqueName="1" name="agent_name" queryTableFieldId="1" dataDxfId="3"/>
    <tableColumn id="2" xr3:uid="{27529134-B37E-4CE3-ADDC-D726217F959D}" uniqueName="2" name="team" queryTableFieldId="2" dataDxfId="2"/>
    <tableColumn id="3" xr3:uid="{5F94EA5B-8B20-4E2E-BCFB-2B20D91789C8}" uniqueName="3" name="total_calls" queryTableFieldId="3"/>
    <tableColumn id="4" xr3:uid="{D02F14D8-B33F-4A21-A5BA-342253B3CFE8}" uniqueName="4" name="avg_handle_time_mins" queryTableFieldId="4"/>
    <tableColumn id="5" xr3:uid="{EFA05AF3-B6D3-4973-9110-9E986B421A06}" uniqueName="5" name="avg_csat" queryTableFieldId="5"/>
    <tableColumn id="6" xr3:uid="{34D368AA-B879-40B5-A9A0-DF088ED0D0FE}" uniqueName="6" name="fcr_rate_pct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84657E-0ABC-4D6C-AE45-7051F5398BCA}" name="call_outcome_summary" displayName="call_outcome_summary" ref="A1:C5" tableType="queryTable" totalsRowShown="0">
  <autoFilter ref="A1:C5" xr:uid="{3584657E-0ABC-4D6C-AE45-7051F5398BCA}"/>
  <tableColumns count="3">
    <tableColumn id="1" xr3:uid="{BAADB338-11D2-4156-A952-86078CF06A2E}" uniqueName="1" name="call_outcome" queryTableFieldId="1" dataDxfId="1"/>
    <tableColumn id="2" xr3:uid="{C94EF93E-BD7F-43D0-AD29-0E6AC5A15EBF}" uniqueName="2" name="total_calls" queryTableFieldId="2"/>
    <tableColumn id="3" xr3:uid="{9087843F-1F4B-4DA8-B9CD-CB84E0CB55C0}" uniqueName="3" name="percentage" queryTableField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8A4DA2-7006-4DB6-8C78-75B5D9843C1E}" name="monthly_trend" displayName="monthly_trend" ref="A1:F13" tableType="queryTable" totalsRowShown="0">
  <autoFilter ref="A1:F13" xr:uid="{828A4DA2-7006-4DB6-8C78-75B5D9843C1E}"/>
  <tableColumns count="6">
    <tableColumn id="1" xr3:uid="{E7D9C132-1861-4ADD-95D2-2FE88A1C48BB}" uniqueName="1" name="month" queryTableFieldId="1" dataDxfId="0"/>
    <tableColumn id="2" xr3:uid="{B2E0F1D8-54CC-4D6E-82A6-B8B5B8439225}" uniqueName="2" name="total_calls" queryTableFieldId="2"/>
    <tableColumn id="3" xr3:uid="{16B0942A-E423-4248-9031-60B4B4A57300}" uniqueName="3" name="resolved" queryTableFieldId="3"/>
    <tableColumn id="4" xr3:uid="{EA71F575-B0B7-4B43-8B33-2945C7AEDE6E}" uniqueName="4" name="escalated" queryTableFieldId="4"/>
    <tableColumn id="5" xr3:uid="{002CA7C8-16F7-40DC-B446-2EC41CA666B5}" uniqueName="5" name="abandoned" queryTableFieldId="5"/>
    <tableColumn id="6" xr3:uid="{3B080220-3308-48EF-8F46-BD4643B96D00}" uniqueName="6" name="avg_csat" queryTableFieldId="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BE018-0000-4E85-B71F-16BB144932D2}">
  <dimension ref="A1:F11"/>
  <sheetViews>
    <sheetView workbookViewId="0">
      <selection activeCell="R11" sqref="R11"/>
    </sheetView>
  </sheetViews>
  <sheetFormatPr defaultRowHeight="14.4" x14ac:dyDescent="0.3"/>
  <cols>
    <col min="1" max="1" width="13.21875" bestFit="1" customWidth="1"/>
    <col min="2" max="2" width="7.5546875" bestFit="1" customWidth="1"/>
    <col min="3" max="3" width="11.88671875" bestFit="1" customWidth="1"/>
    <col min="4" max="4" width="22.21875" bestFit="1" customWidth="1"/>
    <col min="5" max="5" width="10.33203125" bestFit="1" customWidth="1"/>
    <col min="6" max="6" width="13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>
        <v>40</v>
      </c>
      <c r="D2">
        <v>4.22</v>
      </c>
      <c r="E2">
        <v>4.03</v>
      </c>
      <c r="F2">
        <v>52.5</v>
      </c>
    </row>
    <row r="3" spans="1:6" x14ac:dyDescent="0.3">
      <c r="A3" s="1" t="s">
        <v>8</v>
      </c>
      <c r="B3" s="1" t="s">
        <v>9</v>
      </c>
      <c r="C3">
        <v>60</v>
      </c>
      <c r="D3">
        <v>4.82</v>
      </c>
      <c r="E3">
        <v>3.89</v>
      </c>
      <c r="F3">
        <v>50</v>
      </c>
    </row>
    <row r="4" spans="1:6" x14ac:dyDescent="0.3">
      <c r="A4" s="1" t="s">
        <v>10</v>
      </c>
      <c r="B4" s="1" t="s">
        <v>9</v>
      </c>
      <c r="C4">
        <v>51</v>
      </c>
      <c r="D4">
        <v>4.63</v>
      </c>
      <c r="E4">
        <v>3.89</v>
      </c>
      <c r="F4">
        <v>37.25</v>
      </c>
    </row>
    <row r="5" spans="1:6" x14ac:dyDescent="0.3">
      <c r="A5" s="1" t="s">
        <v>11</v>
      </c>
      <c r="B5" s="1" t="s">
        <v>12</v>
      </c>
      <c r="C5">
        <v>53</v>
      </c>
      <c r="D5">
        <v>4.92</v>
      </c>
      <c r="E5">
        <v>3.85</v>
      </c>
      <c r="F5">
        <v>52.83</v>
      </c>
    </row>
    <row r="6" spans="1:6" x14ac:dyDescent="0.3">
      <c r="A6" s="1" t="s">
        <v>13</v>
      </c>
      <c r="B6" s="1" t="s">
        <v>12</v>
      </c>
      <c r="C6">
        <v>43</v>
      </c>
      <c r="D6">
        <v>5.68</v>
      </c>
      <c r="E6">
        <v>3.79</v>
      </c>
      <c r="F6">
        <v>39.53</v>
      </c>
    </row>
    <row r="7" spans="1:6" x14ac:dyDescent="0.3">
      <c r="A7" s="1" t="s">
        <v>14</v>
      </c>
      <c r="B7" s="1" t="s">
        <v>9</v>
      </c>
      <c r="C7">
        <v>50</v>
      </c>
      <c r="D7">
        <v>5</v>
      </c>
      <c r="E7">
        <v>3.78</v>
      </c>
      <c r="F7">
        <v>54</v>
      </c>
    </row>
    <row r="8" spans="1:6" x14ac:dyDescent="0.3">
      <c r="A8" s="1" t="s">
        <v>15</v>
      </c>
      <c r="B8" s="1" t="s">
        <v>7</v>
      </c>
      <c r="C8">
        <v>60</v>
      </c>
      <c r="D8">
        <v>5.53</v>
      </c>
      <c r="E8">
        <v>3.74</v>
      </c>
      <c r="F8">
        <v>51.67</v>
      </c>
    </row>
    <row r="9" spans="1:6" x14ac:dyDescent="0.3">
      <c r="A9" s="1" t="s">
        <v>16</v>
      </c>
      <c r="B9" s="1" t="s">
        <v>7</v>
      </c>
      <c r="C9">
        <v>52</v>
      </c>
      <c r="D9">
        <v>5.28</v>
      </c>
      <c r="E9">
        <v>3.71</v>
      </c>
      <c r="F9">
        <v>26.92</v>
      </c>
    </row>
    <row r="10" spans="1:6" x14ac:dyDescent="0.3">
      <c r="A10" s="1" t="s">
        <v>17</v>
      </c>
      <c r="B10" s="1" t="s">
        <v>7</v>
      </c>
      <c r="C10">
        <v>52</v>
      </c>
      <c r="D10">
        <v>5.09</v>
      </c>
      <c r="E10">
        <v>3.71</v>
      </c>
      <c r="F10">
        <v>50</v>
      </c>
    </row>
    <row r="11" spans="1:6" x14ac:dyDescent="0.3">
      <c r="A11" s="1" t="s">
        <v>18</v>
      </c>
      <c r="B11" s="1" t="s">
        <v>12</v>
      </c>
      <c r="C11">
        <v>39</v>
      </c>
      <c r="D11">
        <v>4.8899999999999997</v>
      </c>
      <c r="E11">
        <v>3.41</v>
      </c>
      <c r="F11">
        <v>35.9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B89FC-55AE-4D58-BFB3-50CDA723C25E}">
  <dimension ref="A1:C5"/>
  <sheetViews>
    <sheetView workbookViewId="0">
      <selection activeCell="M13" sqref="M13"/>
    </sheetView>
  </sheetViews>
  <sheetFormatPr defaultRowHeight="14.4" x14ac:dyDescent="0.3"/>
  <cols>
    <col min="1" max="1" width="14.44140625" bestFit="1" customWidth="1"/>
    <col min="2" max="2" width="11.88671875" bestFit="1" customWidth="1"/>
    <col min="3" max="3" width="12.5546875" bestFit="1" customWidth="1"/>
  </cols>
  <sheetData>
    <row r="1" spans="1:3" x14ac:dyDescent="0.3">
      <c r="A1" t="s">
        <v>19</v>
      </c>
      <c r="B1" t="s">
        <v>2</v>
      </c>
      <c r="C1" t="s">
        <v>20</v>
      </c>
    </row>
    <row r="2" spans="1:3" x14ac:dyDescent="0.3">
      <c r="A2" s="1" t="s">
        <v>21</v>
      </c>
      <c r="B2">
        <v>293</v>
      </c>
      <c r="C2">
        <v>58.6</v>
      </c>
    </row>
    <row r="3" spans="1:3" x14ac:dyDescent="0.3">
      <c r="A3" s="1" t="s">
        <v>22</v>
      </c>
      <c r="B3">
        <v>84</v>
      </c>
      <c r="C3">
        <v>16.8</v>
      </c>
    </row>
    <row r="4" spans="1:3" x14ac:dyDescent="0.3">
      <c r="A4" s="1" t="s">
        <v>23</v>
      </c>
      <c r="B4">
        <v>81</v>
      </c>
      <c r="C4">
        <v>16.2</v>
      </c>
    </row>
    <row r="5" spans="1:3" x14ac:dyDescent="0.3">
      <c r="A5" s="1" t="s">
        <v>24</v>
      </c>
      <c r="B5">
        <v>42</v>
      </c>
      <c r="C5">
        <v>8.4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AD745-2DE5-4E4A-95E7-548CC975EB76}">
  <dimension ref="A1:F13"/>
  <sheetViews>
    <sheetView workbookViewId="0">
      <selection activeCell="P10" sqref="P10"/>
    </sheetView>
  </sheetViews>
  <sheetFormatPr defaultRowHeight="14.4" x14ac:dyDescent="0.3"/>
  <cols>
    <col min="1" max="1" width="9.33203125" bestFit="1" customWidth="1"/>
    <col min="2" max="2" width="11.88671875" bestFit="1" customWidth="1"/>
    <col min="3" max="3" width="10.33203125" bestFit="1" customWidth="1"/>
    <col min="4" max="4" width="11.44140625" bestFit="1" customWidth="1"/>
    <col min="5" max="5" width="12.5546875" bestFit="1" customWidth="1"/>
    <col min="6" max="6" width="10.33203125" bestFit="1" customWidth="1"/>
  </cols>
  <sheetData>
    <row r="1" spans="1:6" x14ac:dyDescent="0.3">
      <c r="A1" t="s">
        <v>25</v>
      </c>
      <c r="B1" t="s">
        <v>2</v>
      </c>
      <c r="C1" t="s">
        <v>26</v>
      </c>
      <c r="D1" t="s">
        <v>27</v>
      </c>
      <c r="E1" t="s">
        <v>28</v>
      </c>
      <c r="F1" t="s">
        <v>4</v>
      </c>
    </row>
    <row r="2" spans="1:6" x14ac:dyDescent="0.3">
      <c r="A2" s="2">
        <v>45292</v>
      </c>
      <c r="B2">
        <v>40</v>
      </c>
      <c r="C2">
        <v>21</v>
      </c>
      <c r="D2">
        <v>10</v>
      </c>
      <c r="E2">
        <v>4</v>
      </c>
      <c r="F2">
        <v>3.47</v>
      </c>
    </row>
    <row r="3" spans="1:6" x14ac:dyDescent="0.3">
      <c r="A3" s="2">
        <v>45323</v>
      </c>
      <c r="B3">
        <v>42</v>
      </c>
      <c r="C3">
        <v>23</v>
      </c>
      <c r="D3">
        <v>7</v>
      </c>
      <c r="E3">
        <v>1</v>
      </c>
      <c r="F3">
        <v>3.66</v>
      </c>
    </row>
    <row r="4" spans="1:6" x14ac:dyDescent="0.3">
      <c r="A4" s="2">
        <v>45352</v>
      </c>
      <c r="B4">
        <v>48</v>
      </c>
      <c r="C4">
        <v>29</v>
      </c>
      <c r="D4">
        <v>6</v>
      </c>
      <c r="E4">
        <v>5</v>
      </c>
      <c r="F4">
        <v>4.07</v>
      </c>
    </row>
    <row r="5" spans="1:6" x14ac:dyDescent="0.3">
      <c r="A5" s="2">
        <v>45383</v>
      </c>
      <c r="B5">
        <v>37</v>
      </c>
      <c r="C5">
        <v>19</v>
      </c>
      <c r="D5">
        <v>7</v>
      </c>
      <c r="E5">
        <v>4</v>
      </c>
      <c r="F5">
        <v>3.88</v>
      </c>
    </row>
    <row r="6" spans="1:6" x14ac:dyDescent="0.3">
      <c r="A6" s="2">
        <v>45413</v>
      </c>
      <c r="B6">
        <v>49</v>
      </c>
      <c r="C6">
        <v>28</v>
      </c>
      <c r="D6">
        <v>12</v>
      </c>
      <c r="E6">
        <v>3</v>
      </c>
      <c r="F6">
        <v>3.57</v>
      </c>
    </row>
    <row r="7" spans="1:6" x14ac:dyDescent="0.3">
      <c r="A7" s="2">
        <v>45444</v>
      </c>
      <c r="B7">
        <v>41</v>
      </c>
      <c r="C7">
        <v>21</v>
      </c>
      <c r="D7">
        <v>9</v>
      </c>
      <c r="E7">
        <v>3</v>
      </c>
      <c r="F7">
        <v>3.76</v>
      </c>
    </row>
    <row r="8" spans="1:6" x14ac:dyDescent="0.3">
      <c r="A8" s="2">
        <v>45474</v>
      </c>
      <c r="B8">
        <v>34</v>
      </c>
      <c r="C8">
        <v>20</v>
      </c>
      <c r="D8">
        <v>6</v>
      </c>
      <c r="E8">
        <v>2</v>
      </c>
      <c r="F8">
        <v>3.84</v>
      </c>
    </row>
    <row r="9" spans="1:6" x14ac:dyDescent="0.3">
      <c r="A9" s="2">
        <v>45505</v>
      </c>
      <c r="B9">
        <v>43</v>
      </c>
      <c r="C9">
        <v>24</v>
      </c>
      <c r="D9">
        <v>5</v>
      </c>
      <c r="E9">
        <v>6</v>
      </c>
      <c r="F9">
        <v>3.65</v>
      </c>
    </row>
    <row r="10" spans="1:6" x14ac:dyDescent="0.3">
      <c r="A10" s="2">
        <v>45536</v>
      </c>
      <c r="B10">
        <v>35</v>
      </c>
      <c r="C10">
        <v>24</v>
      </c>
      <c r="D10">
        <v>3</v>
      </c>
      <c r="E10">
        <v>3</v>
      </c>
      <c r="F10">
        <v>4.25</v>
      </c>
    </row>
    <row r="11" spans="1:6" x14ac:dyDescent="0.3">
      <c r="A11" s="2">
        <v>45566</v>
      </c>
      <c r="B11">
        <v>48</v>
      </c>
      <c r="C11">
        <v>36</v>
      </c>
      <c r="D11">
        <v>1</v>
      </c>
      <c r="E11">
        <v>5</v>
      </c>
      <c r="F11">
        <v>4</v>
      </c>
    </row>
    <row r="12" spans="1:6" x14ac:dyDescent="0.3">
      <c r="A12" s="2">
        <v>45597</v>
      </c>
      <c r="B12">
        <v>34</v>
      </c>
      <c r="C12">
        <v>18</v>
      </c>
      <c r="D12">
        <v>5</v>
      </c>
      <c r="E12">
        <v>3</v>
      </c>
      <c r="F12">
        <v>3.68</v>
      </c>
    </row>
    <row r="13" spans="1:6" x14ac:dyDescent="0.3">
      <c r="A13" s="2">
        <v>45627</v>
      </c>
      <c r="B13">
        <v>49</v>
      </c>
      <c r="C13">
        <v>30</v>
      </c>
      <c r="D13">
        <v>10</v>
      </c>
      <c r="E13">
        <v>3</v>
      </c>
      <c r="F13">
        <v>3.65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D999F-FB25-4030-9645-FC96FC63168B}">
  <sheetPr>
    <tabColor theme="3" tint="0.249977111117893"/>
  </sheetPr>
  <dimension ref="G1:K1"/>
  <sheetViews>
    <sheetView tabSelected="1" workbookViewId="0">
      <selection activeCell="I8" sqref="I8"/>
    </sheetView>
  </sheetViews>
  <sheetFormatPr defaultRowHeight="14.4" x14ac:dyDescent="0.3"/>
  <sheetData>
    <row r="1" spans="7:11" ht="21" x14ac:dyDescent="0.4">
      <c r="G1" s="3" t="s">
        <v>29</v>
      </c>
      <c r="H1" s="3"/>
      <c r="I1" s="3"/>
      <c r="J1" s="3"/>
      <c r="K1" s="4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221D27-BCBD-4DA6-B646-F0BC18842A7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agent_scoreboard</vt:lpstr>
      <vt:lpstr>call_outcome_summary</vt:lpstr>
      <vt:lpstr>monthly_trend 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</dc:creator>
  <cp:lastModifiedBy>Nitin</cp:lastModifiedBy>
  <dcterms:created xsi:type="dcterms:W3CDTF">2026-06-03T11:10:49Z</dcterms:created>
  <dcterms:modified xsi:type="dcterms:W3CDTF">2026-06-04T06:43:16Z</dcterms:modified>
</cp:coreProperties>
</file>